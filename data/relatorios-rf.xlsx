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amain/Library/Mobile Documents/com~apple~CloudDocs/Mestrado/#Artigo 01b/Dados/"/>
    </mc:Choice>
  </mc:AlternateContent>
  <xr:revisionPtr revIDLastSave="0" documentId="13_ncr:1_{B94A60D1-1DCC-4742-8261-0FB56BC2AB88}" xr6:coauthVersionLast="47" xr6:coauthVersionMax="47" xr10:uidLastSave="{00000000-0000-0000-0000-000000000000}"/>
  <bookViews>
    <workbookView xWindow="3240" yWindow="4040" windowWidth="29460" windowHeight="17240" xr2:uid="{E93975BA-36B2-1F4D-BE9D-66DDD6D252E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K2" i="1"/>
  <c r="I2" i="1"/>
  <c r="O2" i="1"/>
  <c r="M2" i="1"/>
  <c r="Q2" i="1"/>
  <c r="S2" i="1"/>
  <c r="U2" i="1"/>
  <c r="E3" i="1"/>
  <c r="E11" i="1"/>
  <c r="E10" i="1"/>
  <c r="E9" i="1"/>
  <c r="E8" i="1"/>
  <c r="E7" i="1"/>
  <c r="E6" i="1"/>
  <c r="E5" i="1"/>
  <c r="E4" i="1"/>
  <c r="C11" i="1"/>
  <c r="C10" i="1"/>
  <c r="C9" i="1"/>
  <c r="C8" i="1"/>
  <c r="C7" i="1"/>
  <c r="C6" i="1"/>
  <c r="C5" i="1"/>
  <c r="C4" i="1"/>
  <c r="C3" i="1"/>
  <c r="E2" i="1"/>
  <c r="C2" i="1"/>
</calcChain>
</file>

<file path=xl/sharedStrings.xml><?xml version="1.0" encoding="utf-8"?>
<sst xmlns="http://schemas.openxmlformats.org/spreadsheetml/2006/main" count="31" uniqueCount="31">
  <si>
    <t>QTD2023</t>
  </si>
  <si>
    <t>CRED2023</t>
  </si>
  <si>
    <t>QTD2024</t>
  </si>
  <si>
    <t>CRED2024</t>
  </si>
  <si>
    <t>Total</t>
  </si>
  <si>
    <t>Comercio</t>
  </si>
  <si>
    <t>Prestacao de servicos</t>
  </si>
  <si>
    <t>Industria</t>
  </si>
  <si>
    <t>Transportes e servicos relacionados</t>
  </si>
  <si>
    <t>Construcao civil</t>
  </si>
  <si>
    <t>Servicos de comunicacao energia e agua</t>
  </si>
  <si>
    <t>Servicos financeiros</t>
  </si>
  <si>
    <t>Sociedade de participacao</t>
  </si>
  <si>
    <t>Outros setores</t>
  </si>
  <si>
    <t>QTD2022</t>
  </si>
  <si>
    <t>CRED2022</t>
  </si>
  <si>
    <t>QTD2021</t>
  </si>
  <si>
    <t>CRED2021</t>
  </si>
  <si>
    <t>QTD2020</t>
  </si>
  <si>
    <t>CRED2020</t>
  </si>
  <si>
    <t>QTD2019</t>
  </si>
  <si>
    <t>CRED2019</t>
  </si>
  <si>
    <t>QTD2018</t>
  </si>
  <si>
    <t>CRED2018</t>
  </si>
  <si>
    <t>QTD2017</t>
  </si>
  <si>
    <t>CRED2017</t>
  </si>
  <si>
    <t>QTD2016</t>
  </si>
  <si>
    <t>CRED2016</t>
  </si>
  <si>
    <t>QTD2015</t>
  </si>
  <si>
    <t>CRED2015</t>
  </si>
  <si>
    <t>SETOR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</si>
</sst>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4394-3F05-CA4C-9FA9-A05C5391F5C7}">
  <dimension ref="A1:U12"/>
  <sheetViews>
    <sheetView tabSelected="1" workbookViewId="0">
      <selection activeCell="C17" sqref="C17"/>
    </sheetView>
  </sheetViews>
  <sheetFormatPr baseColWidth="10" defaultRowHeight="16" x14ac:dyDescent="0.2"/>
  <cols>
    <col min="1" max="1" width="34.1640625" bestFit="1" customWidth="1"/>
    <col min="3" max="3" width="18.6640625" bestFit="1" customWidth="1"/>
    <col min="5" max="5" width="18.6640625" bestFit="1" customWidth="1"/>
    <col min="7" max="7" width="18.6640625" bestFit="1" customWidth="1"/>
    <col min="9" max="9" width="18.6640625" bestFit="1" customWidth="1"/>
    <col min="11" max="11" width="18.6640625" bestFit="1" customWidth="1"/>
    <col min="13" max="13" width="18.6640625" bestFit="1" customWidth="1"/>
    <col min="15" max="15" width="18.6640625" bestFit="1" customWidth="1"/>
    <col min="17" max="17" width="18.6640625" bestFit="1" customWidth="1"/>
    <col min="19" max="19" width="18.6640625" bestFit="1" customWidth="1"/>
    <col min="21" max="21" width="18.6640625" bestFit="1" customWidth="1"/>
  </cols>
  <sheetData>
    <row r="1" spans="1:21" x14ac:dyDescent="0.2">
      <c r="A1" t="s">
        <v>30</v>
      </c>
      <c r="B1" t="s">
        <v>2</v>
      </c>
      <c r="C1" t="s">
        <v>3</v>
      </c>
      <c r="D1" t="s">
        <v>0</v>
      </c>
      <c r="E1" t="s">
        <v>1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</row>
    <row r="2" spans="1:21" x14ac:dyDescent="0.2">
      <c r="A2" t="s">
        <v>4</v>
      </c>
      <c r="B2">
        <v>4519</v>
      </c>
      <c r="C2" s="1">
        <f>207305.2*1000000</f>
        <v>207305200000</v>
      </c>
      <c r="D2">
        <v>4427</v>
      </c>
      <c r="E2" s="1">
        <f>209690*1000000</f>
        <v>209690000000</v>
      </c>
      <c r="F2">
        <v>3208</v>
      </c>
      <c r="G2" s="1">
        <f>SUM(G3:G11)</f>
        <v>128286260259</v>
      </c>
      <c r="H2">
        <v>5645</v>
      </c>
      <c r="I2" s="1">
        <f>SUM(I3:I11)</f>
        <v>180653240556</v>
      </c>
      <c r="J2">
        <v>4973</v>
      </c>
      <c r="K2" s="1">
        <f>SUM(K3:K11)</f>
        <v>169692196848</v>
      </c>
      <c r="L2">
        <v>6854</v>
      </c>
      <c r="M2" s="1">
        <f>SUM(M3:M11)</f>
        <v>187790214810</v>
      </c>
      <c r="N2">
        <v>5007</v>
      </c>
      <c r="O2" s="1">
        <f>SUM(O3:O11)</f>
        <v>176923947523</v>
      </c>
      <c r="P2">
        <v>6631</v>
      </c>
      <c r="Q2" s="1">
        <f>SUM(Q3:Q11)</f>
        <v>189571606012</v>
      </c>
      <c r="R2">
        <v>5052</v>
      </c>
      <c r="S2" s="1">
        <f>SUM(S3:S11)</f>
        <v>111047991880</v>
      </c>
      <c r="T2">
        <v>5258</v>
      </c>
      <c r="U2" s="1">
        <f>SUM(U3:U11)</f>
        <v>117865526096</v>
      </c>
    </row>
    <row r="3" spans="1:21" x14ac:dyDescent="0.2">
      <c r="A3" t="s">
        <v>5</v>
      </c>
      <c r="B3">
        <v>1125</v>
      </c>
      <c r="C3" s="1">
        <f>27206.4*1000000</f>
        <v>27206400000</v>
      </c>
      <c r="D3">
        <v>1067</v>
      </c>
      <c r="E3" s="1">
        <f>30900.2*1000000</f>
        <v>30900200000</v>
      </c>
      <c r="F3">
        <v>827</v>
      </c>
      <c r="G3" s="1">
        <v>25767373808</v>
      </c>
      <c r="H3">
        <v>1262</v>
      </c>
      <c r="I3" s="1">
        <v>23592605953</v>
      </c>
      <c r="J3">
        <v>1257</v>
      </c>
      <c r="K3" s="1">
        <v>21990360044</v>
      </c>
      <c r="L3">
        <v>1870</v>
      </c>
      <c r="M3" s="1">
        <v>16760528274</v>
      </c>
      <c r="N3">
        <v>1110</v>
      </c>
      <c r="O3" s="1">
        <v>13063496155</v>
      </c>
      <c r="P3">
        <v>1514</v>
      </c>
      <c r="Q3" s="1">
        <v>20432198314</v>
      </c>
      <c r="R3">
        <v>1074</v>
      </c>
      <c r="S3" s="1">
        <v>8697098819</v>
      </c>
      <c r="T3">
        <v>1149</v>
      </c>
      <c r="U3" s="1">
        <v>20919820080</v>
      </c>
    </row>
    <row r="4" spans="1:21" x14ac:dyDescent="0.2">
      <c r="A4" t="s">
        <v>6</v>
      </c>
      <c r="B4">
        <v>958</v>
      </c>
      <c r="C4" s="1">
        <f>30405.1*1000000</f>
        <v>30405100000</v>
      </c>
      <c r="D4">
        <v>959</v>
      </c>
      <c r="E4" s="1">
        <f>41351.5*1000000</f>
        <v>41351500000</v>
      </c>
      <c r="F4">
        <v>713</v>
      </c>
      <c r="G4" s="1">
        <v>16907679490</v>
      </c>
      <c r="H4">
        <v>1274</v>
      </c>
      <c r="I4" s="1">
        <v>19885505515</v>
      </c>
      <c r="J4">
        <v>1075</v>
      </c>
      <c r="K4" s="1">
        <v>37289339970</v>
      </c>
      <c r="L4">
        <v>1512</v>
      </c>
      <c r="M4" s="1">
        <v>23307732085</v>
      </c>
      <c r="N4">
        <v>1239</v>
      </c>
      <c r="O4" s="1">
        <v>33052920302</v>
      </c>
      <c r="P4">
        <v>1514</v>
      </c>
      <c r="Q4" s="1">
        <v>21064263298</v>
      </c>
      <c r="R4">
        <v>1268</v>
      </c>
      <c r="S4" s="1">
        <v>15969748634</v>
      </c>
      <c r="T4">
        <v>1250</v>
      </c>
      <c r="U4" s="1">
        <v>15693859516</v>
      </c>
    </row>
    <row r="5" spans="1:21" x14ac:dyDescent="0.2">
      <c r="A5" t="s">
        <v>7</v>
      </c>
      <c r="B5">
        <v>1043</v>
      </c>
      <c r="C5" s="1">
        <f>85032.2*1000000</f>
        <v>85032200000</v>
      </c>
      <c r="D5">
        <v>1139</v>
      </c>
      <c r="E5" s="1">
        <f>85857.8*1000000</f>
        <v>85857800000</v>
      </c>
      <c r="F5">
        <v>811</v>
      </c>
      <c r="G5" s="1">
        <v>51624365000</v>
      </c>
      <c r="H5">
        <v>1488</v>
      </c>
      <c r="I5" s="1">
        <v>81735391560</v>
      </c>
      <c r="J5">
        <v>1390</v>
      </c>
      <c r="K5" s="1">
        <v>65438247195</v>
      </c>
      <c r="L5">
        <v>1820</v>
      </c>
      <c r="M5" s="1">
        <v>58444695578</v>
      </c>
      <c r="N5">
        <v>1462</v>
      </c>
      <c r="O5" s="1">
        <v>84222416466</v>
      </c>
      <c r="P5">
        <v>1853</v>
      </c>
      <c r="Q5" s="1">
        <v>107448074296</v>
      </c>
      <c r="R5">
        <v>1429</v>
      </c>
      <c r="S5" s="1">
        <v>55543781169</v>
      </c>
      <c r="T5">
        <v>1432</v>
      </c>
      <c r="U5" s="1">
        <v>39367230611</v>
      </c>
    </row>
    <row r="6" spans="1:21" x14ac:dyDescent="0.2">
      <c r="A6" t="s">
        <v>8</v>
      </c>
      <c r="B6">
        <v>280</v>
      </c>
      <c r="C6" s="1">
        <f>10551.9*1000000</f>
        <v>10551900000</v>
      </c>
      <c r="D6">
        <v>224</v>
      </c>
      <c r="E6" s="1">
        <f>4134.5*1000000</f>
        <v>4134500000</v>
      </c>
      <c r="F6">
        <v>181</v>
      </c>
      <c r="G6" s="1">
        <v>2937689346</v>
      </c>
      <c r="H6">
        <v>344</v>
      </c>
      <c r="I6" s="1">
        <v>4858028856</v>
      </c>
      <c r="J6">
        <v>277</v>
      </c>
      <c r="K6" s="1">
        <v>4911184034</v>
      </c>
      <c r="L6">
        <v>275</v>
      </c>
      <c r="M6" s="1">
        <v>3262914605</v>
      </c>
      <c r="N6">
        <v>243</v>
      </c>
      <c r="O6" s="1">
        <v>4738372430</v>
      </c>
      <c r="P6">
        <v>347</v>
      </c>
      <c r="Q6" s="1">
        <v>4557066353</v>
      </c>
      <c r="R6">
        <v>242</v>
      </c>
      <c r="S6" s="1">
        <v>2489948258</v>
      </c>
      <c r="T6">
        <v>314</v>
      </c>
      <c r="U6" s="1">
        <v>2472871946</v>
      </c>
    </row>
    <row r="7" spans="1:21" x14ac:dyDescent="0.2">
      <c r="A7" t="s">
        <v>9</v>
      </c>
      <c r="B7">
        <v>130</v>
      </c>
      <c r="C7" s="1">
        <f>1841.3*1000000</f>
        <v>1841300000</v>
      </c>
      <c r="D7">
        <v>132</v>
      </c>
      <c r="E7" s="1">
        <f>1344.7*1000000</f>
        <v>1344700000</v>
      </c>
      <c r="F7">
        <v>126</v>
      </c>
      <c r="G7" s="1">
        <v>1709351976</v>
      </c>
      <c r="H7">
        <v>252</v>
      </c>
      <c r="I7" s="1">
        <v>2498634674</v>
      </c>
      <c r="J7">
        <v>203</v>
      </c>
      <c r="K7" s="1">
        <v>1591445510</v>
      </c>
      <c r="L7">
        <v>337</v>
      </c>
      <c r="M7" s="1">
        <v>4860697703</v>
      </c>
      <c r="N7">
        <v>249</v>
      </c>
      <c r="O7" s="1">
        <v>9341520483</v>
      </c>
      <c r="P7">
        <v>341</v>
      </c>
      <c r="Q7" s="1">
        <v>4727538627</v>
      </c>
      <c r="R7">
        <v>277</v>
      </c>
      <c r="S7" s="1">
        <v>9024544788</v>
      </c>
      <c r="T7">
        <v>276</v>
      </c>
      <c r="U7" s="1">
        <v>2635188319</v>
      </c>
    </row>
    <row r="8" spans="1:21" x14ac:dyDescent="0.2">
      <c r="A8" t="s">
        <v>10</v>
      </c>
      <c r="B8">
        <v>81</v>
      </c>
      <c r="C8" s="1">
        <f>6610.4*1000000</f>
        <v>6610400000</v>
      </c>
      <c r="D8">
        <v>98</v>
      </c>
      <c r="E8" s="1">
        <f>4721.3*1000000</f>
        <v>4721300000</v>
      </c>
      <c r="F8">
        <v>64</v>
      </c>
      <c r="G8" s="1">
        <v>2995416581</v>
      </c>
      <c r="H8">
        <v>102</v>
      </c>
      <c r="I8" s="1">
        <v>4382622433</v>
      </c>
      <c r="J8">
        <v>101</v>
      </c>
      <c r="K8" s="1">
        <v>9145157589</v>
      </c>
      <c r="L8">
        <v>123</v>
      </c>
      <c r="M8" s="1">
        <v>14002735314</v>
      </c>
      <c r="N8">
        <v>71</v>
      </c>
      <c r="O8" s="1">
        <v>5517444129</v>
      </c>
      <c r="P8">
        <v>60</v>
      </c>
      <c r="Q8" s="1">
        <v>2259646473</v>
      </c>
      <c r="R8">
        <v>61</v>
      </c>
      <c r="S8" s="1">
        <v>2115787068</v>
      </c>
      <c r="T8">
        <v>61</v>
      </c>
      <c r="U8" s="1">
        <v>1707179901</v>
      </c>
    </row>
    <row r="9" spans="1:21" x14ac:dyDescent="0.2">
      <c r="A9" t="s">
        <v>11</v>
      </c>
      <c r="B9">
        <v>128</v>
      </c>
      <c r="C9" s="1">
        <f>26289.5*1000000</f>
        <v>26289500000</v>
      </c>
      <c r="D9">
        <v>128</v>
      </c>
      <c r="E9" s="1">
        <f>26457.9*1000000</f>
        <v>26457900000</v>
      </c>
      <c r="F9">
        <v>99</v>
      </c>
      <c r="G9" s="1">
        <v>19763963922</v>
      </c>
      <c r="H9">
        <v>117</v>
      </c>
      <c r="I9" s="1">
        <v>21357111314</v>
      </c>
      <c r="J9">
        <v>99</v>
      </c>
      <c r="K9" s="1">
        <v>20053833261</v>
      </c>
      <c r="L9">
        <v>162</v>
      </c>
      <c r="M9" s="1">
        <v>56599648145</v>
      </c>
      <c r="N9">
        <v>122</v>
      </c>
      <c r="O9" s="1">
        <v>16064840414</v>
      </c>
      <c r="P9">
        <v>173</v>
      </c>
      <c r="Q9" s="1">
        <v>15257822055</v>
      </c>
      <c r="R9">
        <v>109</v>
      </c>
      <c r="S9" s="1">
        <v>10526597432</v>
      </c>
      <c r="T9">
        <v>133</v>
      </c>
      <c r="U9" s="1">
        <v>19225017134</v>
      </c>
    </row>
    <row r="10" spans="1:21" x14ac:dyDescent="0.2">
      <c r="A10" t="s">
        <v>12</v>
      </c>
      <c r="B10">
        <v>93</v>
      </c>
      <c r="C10" s="1">
        <f>6362.3*1000000</f>
        <v>6362300000</v>
      </c>
      <c r="D10">
        <v>114</v>
      </c>
      <c r="E10" s="1">
        <f>6268*1000000</f>
        <v>6268000000</v>
      </c>
      <c r="F10">
        <v>62</v>
      </c>
      <c r="G10" s="1">
        <v>1515866646</v>
      </c>
      <c r="H10">
        <v>119</v>
      </c>
      <c r="I10" s="1">
        <v>12203907067</v>
      </c>
      <c r="J10">
        <v>76</v>
      </c>
      <c r="K10" s="1">
        <v>2033065869</v>
      </c>
      <c r="L10">
        <v>110</v>
      </c>
      <c r="M10" s="1">
        <v>5394890614</v>
      </c>
      <c r="N10">
        <v>75</v>
      </c>
      <c r="O10" s="1">
        <v>7140903626</v>
      </c>
      <c r="P10">
        <v>99</v>
      </c>
      <c r="Q10" s="1">
        <v>8164663932</v>
      </c>
      <c r="R10">
        <v>95</v>
      </c>
      <c r="S10" s="1">
        <v>3339789385</v>
      </c>
      <c r="T10">
        <v>87</v>
      </c>
      <c r="U10" s="1">
        <v>12740802009</v>
      </c>
    </row>
    <row r="11" spans="1:21" x14ac:dyDescent="0.2">
      <c r="A11" t="s">
        <v>13</v>
      </c>
      <c r="B11">
        <v>681</v>
      </c>
      <c r="C11" s="1">
        <f>13006*1000000</f>
        <v>13006000000</v>
      </c>
      <c r="D11">
        <v>566</v>
      </c>
      <c r="E11" s="1">
        <f>8654*1000000</f>
        <v>8654000000</v>
      </c>
      <c r="F11">
        <v>325</v>
      </c>
      <c r="G11" s="1">
        <v>5064553490</v>
      </c>
      <c r="H11">
        <v>687</v>
      </c>
      <c r="I11" s="1">
        <v>10139433184</v>
      </c>
      <c r="J11">
        <v>495</v>
      </c>
      <c r="K11" s="1">
        <v>7239563376</v>
      </c>
      <c r="L11">
        <v>645</v>
      </c>
      <c r="M11" s="1">
        <v>5156372492</v>
      </c>
      <c r="N11">
        <v>436</v>
      </c>
      <c r="O11" s="1">
        <v>3782033518</v>
      </c>
      <c r="P11">
        <v>730</v>
      </c>
      <c r="Q11" s="1">
        <v>5660332664</v>
      </c>
      <c r="R11">
        <v>497</v>
      </c>
      <c r="S11" s="1">
        <v>3340696327</v>
      </c>
      <c r="T11">
        <v>556</v>
      </c>
      <c r="U11" s="1">
        <v>3103556580</v>
      </c>
    </row>
    <row r="12" spans="1:21" x14ac:dyDescent="0.2">
      <c r="E1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Miranda</dc:creator>
  <cp:lastModifiedBy>Andrei Miranda</cp:lastModifiedBy>
  <dcterms:created xsi:type="dcterms:W3CDTF">2026-02-19T18:52:56Z</dcterms:created>
  <dcterms:modified xsi:type="dcterms:W3CDTF">2026-02-20T14:34:52Z</dcterms:modified>
</cp:coreProperties>
</file>